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EE2D9D0B-73B6-4189-8D35-B2CFA65B03C2}" xr6:coauthVersionLast="38" xr6:coauthVersionMax="38" xr10:uidLastSave="{00000000-0000-0000-0000-000000000000}"/>
  <bookViews>
    <workbookView minimized="1"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G9" i="1"/>
  <c r="AI9" i="1"/>
  <c r="AK9" i="1"/>
  <c r="AM9" i="1"/>
  <c r="AM3" i="1" l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G3" i="1"/>
  <c r="AG4" i="1"/>
  <c r="AG5" i="1"/>
  <c r="AG6" i="1"/>
  <c r="AG7" i="1"/>
  <c r="AG8" i="1"/>
  <c r="AG10" i="1"/>
  <c r="AG11" i="1"/>
  <c r="AG12" i="1"/>
  <c r="AG13" i="1"/>
  <c r="AG14" i="1"/>
  <c r="AG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<sst xmlns="http://schemas.openxmlformats.org/spreadsheetml/2006/main" count="153" uniqueCount="98">
  <si>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</si>
  <si>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</si>
  <si>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</si>
  <si>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</si>
  <si>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</si>
  <si>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</si>
  <si>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</si>
  <si>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</si>
  <si>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</si>
  <si>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</si>
  <si>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</si>
  <si>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</si>
  <si>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</si>
  <si>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</si>
  <si>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</si>
  <si>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</si>
  <si>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</si>
  <si>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</si>
  <si>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</si>
  <si>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</si>
  <si>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</si>
  <si>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</si>
  <si>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</si>
  <si>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</si>
  <si>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</si>
  <si>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</si>
  <si>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</si>
  <si>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</si>
  <si>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</si>
  <si>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</si>
  <si>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</si>
  <si>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</si>
  <si>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</si>
  <si>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</si>
  <si>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</si>
  <si>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</si>
  <si>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</si>
  <si>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</si>
  <si>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</si>
  <si>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</si>
  <si>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</si>
  <si>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</si>
  <si>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</si>
  <si>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</si>
  <si>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</si>
  <si>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</si>
  <si>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</si>
  <si>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</si>
  <si>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Regain a sigil card from the burnt pile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</si>
  <si>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</si>
  <si>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</si>
  <si>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</si>
  <si>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</si>
  <si>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</si>
  <si>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</si>
  <si>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</si>
  <si>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</si>
  <si>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</si>
  <si>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</si>
  <si>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</si>
  <si>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</si>
  <si>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</si>
  <si>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</si>
  <si>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</si>
  <si>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</si>
  <si>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</si>
  <si>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</si>
  <si>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</si>
  <si>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</si>
  <si>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</si>
  <si>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</si>
  <si>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</si>
  <si>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</si>
  <si>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</si>
  <si>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</si>
  <si>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</si>
  <si>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</si>
  <si>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</si>
  <si>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</si>
  <si>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Gain 2x Inner Strength</t>
  </si>
  <si>
    <t>inner_strength</t>
  </si>
  <si>
    <t>Undying: at the end of a turn shuffle your burn pile and draw one card from it.</t>
  </si>
  <si>
    <t>pact_of_maggots</t>
  </si>
  <si>
    <t>Burn the top two cards of your opponents deck</t>
  </si>
  <si>
    <t>fireball</t>
  </si>
  <si>
    <t>health_potion</t>
  </si>
  <si>
    <t>If this card blocks its full shield count give the player two wound cards</t>
  </si>
  <si>
    <t>Recover 5 burnt cards. This card is burnt immediately after use</t>
  </si>
  <si>
    <t>sepents_scale</t>
  </si>
  <si>
    <t>naga</t>
  </si>
  <si>
    <t>crushing_blow</t>
  </si>
  <si>
    <t>Draw one card.</t>
  </si>
  <si>
    <t>Regain a sigil card and 1 other card from the burn pile</t>
  </si>
  <si>
    <t>call_of_the_deep</t>
  </si>
  <si>
    <t>Each time card is played gain +3 attack and +2 defense</t>
  </si>
  <si>
    <t>eldritch_oath</t>
  </si>
  <si>
    <t>kindling</t>
  </si>
  <si>
    <t>If the player's defense is higher than the sttack total burn 1 random defense card in 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</si>
</sst>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4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N385"/>
  <sheetViews>
    <sheetView tabSelected="1" topLeftCell="V1" zoomScale="70" zoomScaleNormal="70" workbookViewId="0">
      <selection activeCell="AI17" sqref="AI17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6.6640625" style="21" customWidth="1"/>
    <col min="34" max="34" width="17.33203125" style="20" customWidth="1"/>
    <col min="35" max="35" width="16.6640625" style="21" customWidth="1"/>
    <col min="36" max="36" width="16.77734375" style="20" customWidth="1"/>
    <col min="37" max="37" width="16.5546875" style="21" customWidth="1"/>
    <col min="38" max="38" width="17.6640625" style="20" customWidth="1"/>
    <col min="39" max="39" width="16.21875" style="21" customWidth="1"/>
    <col min="40" max="40" width="15.44140625" style="20" customWidth="1"/>
  </cols>
  <sheetData>
    <row r="1" spans="1:40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53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60</v>
      </c>
      <c r="AA1" s="15" t="s">
        <v>61</v>
      </c>
      <c r="AC1" s="15" t="s">
        <v>65</v>
      </c>
      <c r="AE1" s="15" t="s">
        <v>69</v>
      </c>
      <c r="AG1" s="21" t="s">
        <v>71</v>
      </c>
      <c r="AI1" s="21" t="s">
        <v>73</v>
      </c>
      <c r="AK1" s="21" t="s">
        <v>75</v>
      </c>
      <c r="AM1" s="21" t="s">
        <v>77</v>
      </c>
    </row>
    <row r="2" spans="1:40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49</v>
      </c>
      <c r="M2" s="15" t="str">
        <f>A2</f>
        <v>name</v>
      </c>
      <c r="N2" s="5" t="s">
        <v>51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54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66</v>
      </c>
      <c r="AA2" s="15" t="str">
        <f>A2</f>
        <v>name</v>
      </c>
      <c r="AB2" s="20" t="s">
        <v>67</v>
      </c>
      <c r="AC2" s="15" t="str">
        <f>A2</f>
        <v>name</v>
      </c>
      <c r="AD2" s="20" t="s">
        <v>68</v>
      </c>
      <c r="AE2" s="15" t="str">
        <f>A2</f>
        <v>name</v>
      </c>
      <c r="AF2" s="20" t="s">
        <v>70</v>
      </c>
      <c r="AG2" s="21" t="str">
        <f>A2</f>
        <v>name</v>
      </c>
      <c r="AH2" s="20" t="s">
        <v>72</v>
      </c>
      <c r="AI2" s="21" t="str">
        <f>A2</f>
        <v>name</v>
      </c>
      <c r="AJ2" s="20" t="s">
        <v>74</v>
      </c>
      <c r="AK2" s="21" t="str">
        <f>A2</f>
        <v>name</v>
      </c>
      <c r="AL2" s="20" t="s">
        <v>76</v>
      </c>
      <c r="AM2" s="21" t="str">
        <f>A2</f>
        <v>name</v>
      </c>
      <c r="AN2" s="20" t="s">
        <v>78</v>
      </c>
    </row>
    <row r="3" spans="1:40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2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21" t="str">
        <f t="shared" ref="AG3:AG14" si="14">A3</f>
        <v>discard_cost</v>
      </c>
      <c r="AH3" s="20">
        <v>0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1</v>
      </c>
      <c r="AM3" s="21" t="str">
        <f t="shared" ref="AM3:AM14" si="17">A3</f>
        <v>discard_cost</v>
      </c>
      <c r="AN3" s="20">
        <v>1</v>
      </c>
    </row>
    <row r="4" spans="1:40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2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8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21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</row>
    <row r="5" spans="1:40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8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21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</row>
    <row r="6" spans="1:40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2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8"/>
        <v>attack</v>
      </c>
      <c r="T6" s="2">
        <v>0</v>
      </c>
      <c r="U6" s="11" t="str">
        <f t="shared" si="9"/>
        <v>attack</v>
      </c>
      <c r="V6" s="2">
        <v>0</v>
      </c>
      <c r="W6" s="11" t="str">
        <f t="shared" si="6"/>
        <v>attack</v>
      </c>
      <c r="X6" s="19">
        <v>0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21" t="str">
        <f t="shared" si="14"/>
        <v>attack</v>
      </c>
      <c r="AH6" s="20">
        <v>0</v>
      </c>
      <c r="AI6" s="21" t="str">
        <f t="shared" si="15"/>
        <v>attack</v>
      </c>
      <c r="AJ6" s="20">
        <v>3</v>
      </c>
      <c r="AK6" s="21" t="str">
        <f t="shared" si="16"/>
        <v>attack</v>
      </c>
      <c r="AL6" s="20">
        <v>1</v>
      </c>
      <c r="AM6" s="21" t="str">
        <f t="shared" si="17"/>
        <v>attack</v>
      </c>
      <c r="AN6" s="20">
        <v>2</v>
      </c>
    </row>
    <row r="7" spans="1:40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2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8"/>
        <v>defense</v>
      </c>
      <c r="T7" s="2">
        <v>1</v>
      </c>
      <c r="U7" s="11" t="str">
        <f t="shared" si="9"/>
        <v>defense</v>
      </c>
      <c r="V7" s="2">
        <v>0</v>
      </c>
      <c r="W7" s="11" t="str">
        <f t="shared" si="6"/>
        <v>defense</v>
      </c>
      <c r="X7" s="19">
        <v>0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21" t="str">
        <f t="shared" si="14"/>
        <v>defense</v>
      </c>
      <c r="AH7" s="20">
        <v>3</v>
      </c>
      <c r="AI7" s="21" t="str">
        <f t="shared" si="15"/>
        <v>defense</v>
      </c>
      <c r="AJ7" s="20">
        <v>0</v>
      </c>
      <c r="AK7" s="21" t="str">
        <f t="shared" si="16"/>
        <v>defense</v>
      </c>
      <c r="AL7" s="20">
        <v>1</v>
      </c>
      <c r="AM7" s="21" t="str">
        <f t="shared" si="17"/>
        <v>defense</v>
      </c>
      <c r="AN7" s="20">
        <v>1</v>
      </c>
    </row>
    <row r="8" spans="1:40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8"/>
        <v>sigil_num</v>
      </c>
      <c r="T8" s="2">
        <v>0</v>
      </c>
      <c r="U8" s="11" t="str">
        <f t="shared" si="9"/>
        <v>sigil_num</v>
      </c>
      <c r="V8" s="2">
        <v>10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21" t="str">
        <f t="shared" si="14"/>
        <v>sigil_num</v>
      </c>
      <c r="AH8" s="20">
        <v>2</v>
      </c>
      <c r="AI8" s="21" t="str">
        <f t="shared" si="15"/>
        <v>sigil_num</v>
      </c>
      <c r="AJ8" s="20">
        <v>1</v>
      </c>
      <c r="AK8" s="21" t="str">
        <f t="shared" si="16"/>
        <v>sigil_num</v>
      </c>
      <c r="AL8" s="20">
        <v>0</v>
      </c>
      <c r="AM8" s="21" t="str">
        <f t="shared" si="17"/>
        <v>sigil_num</v>
      </c>
      <c r="AN8" s="20">
        <v>1</v>
      </c>
    </row>
    <row r="9" spans="1:40" x14ac:dyDescent="0.3">
      <c r="A9" s="15" t="s">
        <v>96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8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21" t="str">
        <f t="shared" si="14"/>
        <v>kindling</v>
      </c>
      <c r="AH9" s="20">
        <v>2</v>
      </c>
      <c r="AI9" s="21" t="str">
        <f t="shared" si="15"/>
        <v>kindling</v>
      </c>
      <c r="AJ9" s="20">
        <v>3</v>
      </c>
      <c r="AK9" s="21" t="str">
        <f t="shared" si="16"/>
        <v>kindling</v>
      </c>
      <c r="AL9" s="20">
        <v>1</v>
      </c>
      <c r="AM9" s="21" t="str">
        <f t="shared" si="17"/>
        <v>kindling</v>
      </c>
      <c r="AN9" s="20">
        <v>0</v>
      </c>
    </row>
    <row r="10" spans="1:40" ht="86.4" x14ac:dyDescent="0.3">
      <c r="A10" s="15" t="s">
        <v>10</v>
      </c>
      <c r="B10" s="5" t="s">
        <v>41</v>
      </c>
      <c r="C10" s="3" t="str">
        <f t="shared" ref="C10:C14" si="19">A10</f>
        <v>discard_effect</v>
      </c>
      <c r="D10" s="5" t="s">
        <v>8</v>
      </c>
      <c r="E10" s="3" t="str">
        <f t="shared" ref="E10:E14" si="20">A10</f>
        <v>discard_effect</v>
      </c>
      <c r="F10" s="5" t="s">
        <v>8</v>
      </c>
      <c r="G10" s="3" t="str">
        <f t="shared" ref="G10:G14" si="21">A10</f>
        <v>discard_effect</v>
      </c>
      <c r="H10" s="5" t="s">
        <v>47</v>
      </c>
      <c r="I10" s="3" t="str">
        <f t="shared" ref="I10:I14" si="22">A10</f>
        <v>discard_effect</v>
      </c>
      <c r="J10" s="14" t="s">
        <v>63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8</v>
      </c>
      <c r="O10" s="10" t="str">
        <f t="shared" si="4"/>
        <v>discard_effect</v>
      </c>
      <c r="P10" s="5" t="s">
        <v>57</v>
      </c>
      <c r="Q10" s="10" t="str">
        <f t="shared" si="5"/>
        <v>discard_effect</v>
      </c>
      <c r="R10" s="5" t="s">
        <v>58</v>
      </c>
      <c r="S10" s="10" t="str">
        <f t="shared" si="18"/>
        <v>discard_effect</v>
      </c>
      <c r="T10" s="5" t="s">
        <v>8</v>
      </c>
      <c r="U10" s="11" t="str">
        <f t="shared" si="9"/>
        <v>discard_effect</v>
      </c>
      <c r="V10" s="5" t="s">
        <v>8</v>
      </c>
      <c r="W10" s="11" t="str">
        <f t="shared" si="6"/>
        <v>discard_effect</v>
      </c>
      <c r="X10" s="18" t="s">
        <v>8</v>
      </c>
      <c r="Y10" s="15" t="str">
        <f t="shared" si="10"/>
        <v>discard_effect</v>
      </c>
      <c r="Z10" s="20" t="s">
        <v>79</v>
      </c>
      <c r="AA10" s="15" t="str">
        <f t="shared" si="11"/>
        <v>discard_effect</v>
      </c>
      <c r="AB10" s="20" t="s">
        <v>81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87</v>
      </c>
      <c r="AG10" s="21" t="str">
        <f t="shared" si="14"/>
        <v>discard_effect</v>
      </c>
      <c r="AH10" s="23" t="s">
        <v>86</v>
      </c>
      <c r="AI10" s="21" t="str">
        <f t="shared" si="15"/>
        <v>discard_effect</v>
      </c>
      <c r="AJ10" s="22" t="s">
        <v>97</v>
      </c>
      <c r="AK10" s="21" t="str">
        <f t="shared" si="16"/>
        <v>discard_effect</v>
      </c>
      <c r="AL10" s="22" t="s">
        <v>91</v>
      </c>
      <c r="AM10" s="21" t="str">
        <f t="shared" si="17"/>
        <v>discard_effect</v>
      </c>
      <c r="AN10" s="22" t="s">
        <v>94</v>
      </c>
    </row>
    <row r="11" spans="1:40" ht="43.2" x14ac:dyDescent="0.3">
      <c r="A11" s="15" t="s">
        <v>11</v>
      </c>
      <c r="B11" s="6" t="s">
        <v>42</v>
      </c>
      <c r="C11" s="3" t="str">
        <f t="shared" si="19"/>
        <v>burn_effect</v>
      </c>
      <c r="D11" s="5" t="s">
        <v>8</v>
      </c>
      <c r="E11" s="3" t="str">
        <f t="shared" si="20"/>
        <v>burn_effect</v>
      </c>
      <c r="F11" s="6" t="s">
        <v>44</v>
      </c>
      <c r="G11" s="3" t="str">
        <f t="shared" si="21"/>
        <v>burn_effect</v>
      </c>
      <c r="H11" s="5" t="s">
        <v>45</v>
      </c>
      <c r="I11" s="3" t="str">
        <f t="shared" si="22"/>
        <v>burn_effect</v>
      </c>
      <c r="J11" s="7" t="s">
        <v>48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48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8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83</v>
      </c>
      <c r="AE11" s="15" t="str">
        <f t="shared" si="13"/>
        <v>burn_effect</v>
      </c>
      <c r="AF11" s="20" t="s">
        <v>8</v>
      </c>
      <c r="AG11" s="21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2" t="s">
        <v>92</v>
      </c>
      <c r="AM11" s="21" t="str">
        <f t="shared" si="17"/>
        <v>burn_effect</v>
      </c>
      <c r="AN11" s="20" t="s">
        <v>8</v>
      </c>
    </row>
    <row r="12" spans="1:40" x14ac:dyDescent="0.3">
      <c r="A12" s="15" t="s">
        <v>5</v>
      </c>
      <c r="B12" s="2" t="s">
        <v>7</v>
      </c>
      <c r="C12" s="3" t="str">
        <f t="shared" si="19"/>
        <v>imageid</v>
      </c>
      <c r="D12" s="5" t="s">
        <v>32</v>
      </c>
      <c r="E12" s="3" t="str">
        <f t="shared" si="20"/>
        <v>imageid</v>
      </c>
      <c r="F12" s="5" t="s">
        <v>33</v>
      </c>
      <c r="G12" s="3" t="str">
        <f t="shared" si="21"/>
        <v>imageid</v>
      </c>
      <c r="H12" s="5" t="s">
        <v>34</v>
      </c>
      <c r="I12" s="3" t="str">
        <f t="shared" si="22"/>
        <v>imageid</v>
      </c>
      <c r="J12" s="5" t="s">
        <v>30</v>
      </c>
      <c r="K12" s="3" t="str">
        <f t="shared" si="7"/>
        <v>imageid</v>
      </c>
      <c r="L12" s="5" t="s">
        <v>50</v>
      </c>
      <c r="M12" s="15" t="str">
        <f t="shared" si="8"/>
        <v>imageid</v>
      </c>
      <c r="N12" s="5" t="s">
        <v>52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8"/>
        <v>imageid</v>
      </c>
      <c r="T12" s="5" t="s">
        <v>55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62</v>
      </c>
      <c r="Y12" s="15" t="str">
        <f t="shared" si="10"/>
        <v>imageid</v>
      </c>
      <c r="Z12" s="20" t="s">
        <v>80</v>
      </c>
      <c r="AA12" s="15" t="str">
        <f t="shared" si="11"/>
        <v>imageid</v>
      </c>
      <c r="AB12" s="20" t="s">
        <v>82</v>
      </c>
      <c r="AC12" s="15" t="str">
        <f t="shared" si="12"/>
        <v>imageid</v>
      </c>
      <c r="AD12" s="20" t="s">
        <v>84</v>
      </c>
      <c r="AE12" s="15" t="str">
        <f t="shared" si="13"/>
        <v>imageid</v>
      </c>
      <c r="AF12" s="20" t="s">
        <v>85</v>
      </c>
      <c r="AG12" s="21" t="str">
        <f t="shared" si="14"/>
        <v>imageid</v>
      </c>
      <c r="AH12" s="20" t="s">
        <v>88</v>
      </c>
      <c r="AI12" s="21" t="str">
        <f t="shared" si="15"/>
        <v>imageid</v>
      </c>
      <c r="AJ12" s="20" t="s">
        <v>90</v>
      </c>
      <c r="AK12" s="21" t="str">
        <f t="shared" si="16"/>
        <v>imageid</v>
      </c>
      <c r="AL12" s="20" t="s">
        <v>93</v>
      </c>
      <c r="AM12" s="21" t="str">
        <f t="shared" si="17"/>
        <v>imageid</v>
      </c>
      <c r="AN12" s="20" t="s">
        <v>95</v>
      </c>
    </row>
    <row r="13" spans="1:40" x14ac:dyDescent="0.3">
      <c r="A13" s="15" t="s">
        <v>59</v>
      </c>
      <c r="B13" s="2">
        <v>0</v>
      </c>
      <c r="C13" s="3" t="str">
        <f t="shared" si="19"/>
        <v>num_in_deck</v>
      </c>
      <c r="D13" s="2">
        <v>5</v>
      </c>
      <c r="E13" s="3" t="str">
        <f t="shared" si="20"/>
        <v>num_in_deck</v>
      </c>
      <c r="F13" s="2">
        <v>1</v>
      </c>
      <c r="G13" s="3" t="str">
        <f t="shared" si="21"/>
        <v>num_in_deck</v>
      </c>
      <c r="H13" s="2">
        <v>1</v>
      </c>
      <c r="I13" s="3" t="str">
        <f t="shared" si="22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8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21" t="str">
        <f t="shared" si="14"/>
        <v>num_in_deck</v>
      </c>
      <c r="AH13" s="20">
        <v>8</v>
      </c>
      <c r="AI13" s="21" t="str">
        <f t="shared" si="15"/>
        <v>num_in_deck</v>
      </c>
      <c r="AJ13" s="20">
        <v>10</v>
      </c>
      <c r="AK13" s="21" t="str">
        <f t="shared" si="16"/>
        <v>num_in_deck</v>
      </c>
      <c r="AL13" s="20">
        <v>3</v>
      </c>
      <c r="AM13" s="21" t="str">
        <f t="shared" si="17"/>
        <v>num_in_deck</v>
      </c>
      <c r="AN13" s="20">
        <v>3</v>
      </c>
    </row>
    <row r="14" spans="1:40" x14ac:dyDescent="0.3">
      <c r="A14" s="15" t="s">
        <v>36</v>
      </c>
      <c r="B14" s="5" t="s">
        <v>64</v>
      </c>
      <c r="C14" s="3" t="str">
        <f t="shared" si="19"/>
        <v>type</v>
      </c>
      <c r="D14" s="5" t="s">
        <v>46</v>
      </c>
      <c r="E14" s="3" t="str">
        <f t="shared" si="20"/>
        <v>type</v>
      </c>
      <c r="F14" s="5" t="s">
        <v>46</v>
      </c>
      <c r="G14" s="3" t="str">
        <f t="shared" si="21"/>
        <v>type</v>
      </c>
      <c r="H14" s="5" t="s">
        <v>46</v>
      </c>
      <c r="I14" s="3" t="str">
        <f t="shared" si="22"/>
        <v>type</v>
      </c>
      <c r="J14" s="5" t="s">
        <v>46</v>
      </c>
      <c r="K14" s="3" t="str">
        <f t="shared" si="7"/>
        <v>type</v>
      </c>
      <c r="L14" s="5" t="s">
        <v>46</v>
      </c>
      <c r="M14" s="15" t="str">
        <f t="shared" si="8"/>
        <v>type</v>
      </c>
      <c r="N14" s="5" t="s">
        <v>64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8"/>
        <v>type</v>
      </c>
      <c r="T14" s="5" t="s">
        <v>37</v>
      </c>
      <c r="U14" s="11" t="str">
        <f t="shared" si="9"/>
        <v>type</v>
      </c>
      <c r="V14" s="5" t="s">
        <v>56</v>
      </c>
      <c r="W14" s="11" t="str">
        <f t="shared" si="6"/>
        <v>type</v>
      </c>
      <c r="X14" s="18" t="s">
        <v>56</v>
      </c>
      <c r="Y14" s="15" t="str">
        <f t="shared" si="10"/>
        <v>type</v>
      </c>
      <c r="Z14" s="20" t="s">
        <v>64</v>
      </c>
      <c r="AA14" s="15" t="str">
        <f t="shared" si="11"/>
        <v>type</v>
      </c>
      <c r="AB14" s="20" t="s">
        <v>64</v>
      </c>
      <c r="AC14" s="15" t="str">
        <f t="shared" si="12"/>
        <v>type</v>
      </c>
      <c r="AD14" s="20" t="s">
        <v>64</v>
      </c>
      <c r="AE14" s="15" t="str">
        <f t="shared" si="13"/>
        <v>type</v>
      </c>
      <c r="AF14" s="20" t="s">
        <v>64</v>
      </c>
      <c r="AG14" s="21" t="str">
        <f t="shared" si="14"/>
        <v>type</v>
      </c>
      <c r="AH14" s="20" t="s">
        <v>89</v>
      </c>
      <c r="AI14" s="21" t="str">
        <f t="shared" si="15"/>
        <v>type</v>
      </c>
      <c r="AJ14" s="20" t="s">
        <v>89</v>
      </c>
      <c r="AK14" s="21" t="str">
        <f t="shared" si="16"/>
        <v>type</v>
      </c>
      <c r="AL14" s="20" t="s">
        <v>89</v>
      </c>
      <c r="AM14" s="21" t="str">
        <f t="shared" si="17"/>
        <v>type</v>
      </c>
      <c r="AN14" s="20" t="s">
        <v>89</v>
      </c>
    </row>
    <row r="15" spans="1:40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0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0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0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21"/>
      <c r="AH34" s="20"/>
      <c r="AI34" s="21"/>
      <c r="AJ34" s="20"/>
      <c r="AK34" s="21"/>
      <c r="AL34" s="20"/>
      <c r="AM34" s="21"/>
      <c r="AN34" s="20"/>
    </row>
    <row r="35" spans="1:40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21"/>
      <c r="AH35" s="20"/>
      <c r="AI35" s="21"/>
      <c r="AJ35" s="20"/>
      <c r="AK35" s="21"/>
      <c r="AL35" s="20"/>
      <c r="AM35" s="21"/>
      <c r="AN35" s="20"/>
    </row>
    <row r="36" spans="1:40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0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0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0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0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0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0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0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0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0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0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0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0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2018-11-13T12:57:49Z</dcterms:modified>
</cp:coreProperties>
</file>